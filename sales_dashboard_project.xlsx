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ishi\Desktop\Project\Excel Project\"/>
    </mc:Choice>
  </mc:AlternateContent>
  <xr:revisionPtr revIDLastSave="0" documentId="8_{E2853332-CE57-42EE-BE02-63CDEA55FFDF}" xr6:coauthVersionLast="47" xr6:coauthVersionMax="47" xr10:uidLastSave="{00000000-0000-0000-0000-000000000000}"/>
  <bookViews>
    <workbookView xWindow="-120" yWindow="-120" windowWidth="20730" windowHeight="11040" activeTab="1" xr2:uid="{1FCB6C35-1A30-462C-9B95-82E26BF9DA30}"/>
  </bookViews>
  <sheets>
    <sheet name="Sales Data" sheetId="1" r:id="rId1"/>
    <sheet name="Pivot report" sheetId="3" r:id="rId2"/>
    <sheet name="Dashboard" sheetId="4" r:id="rId3"/>
  </sheets>
  <definedNames>
    <definedName name="Slicer_Category">#N/A</definedName>
    <definedName name="Slicer_Product">#N/A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4" l="1"/>
  <c r="G8" i="4"/>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2" i="1"/>
</calcChain>
</file>

<file path=xl/sharedStrings.xml><?xml version="1.0" encoding="utf-8"?>
<sst xmlns="http://schemas.openxmlformats.org/spreadsheetml/2006/main" count="247" uniqueCount="119">
  <si>
    <t>Order_ID</t>
  </si>
  <si>
    <t>Order_Date</t>
  </si>
  <si>
    <t>Customer_Name</t>
  </si>
  <si>
    <t>State</t>
  </si>
  <si>
    <t>Product</t>
  </si>
  <si>
    <t>Category</t>
  </si>
  <si>
    <t>Quantity</t>
  </si>
  <si>
    <t>Unit_Price</t>
  </si>
  <si>
    <t>Total_Sales</t>
  </si>
  <si>
    <t>ORD001</t>
  </si>
  <si>
    <t>Customer_1</t>
  </si>
  <si>
    <t>Delhi</t>
  </si>
  <si>
    <t>Laptop</t>
  </si>
  <si>
    <t>Electronics</t>
  </si>
  <si>
    <t>ORD002</t>
  </si>
  <si>
    <t>Customer_2</t>
  </si>
  <si>
    <t>Haryana</t>
  </si>
  <si>
    <t>Mobile</t>
  </si>
  <si>
    <t>ORD003</t>
  </si>
  <si>
    <t>Customer_3</t>
  </si>
  <si>
    <t>Punjab</t>
  </si>
  <si>
    <t>Tablet</t>
  </si>
  <si>
    <t>ORD004</t>
  </si>
  <si>
    <t>Customer_4</t>
  </si>
  <si>
    <t>UP</t>
  </si>
  <si>
    <t>Headphones</t>
  </si>
  <si>
    <t>Accessories</t>
  </si>
  <si>
    <t>ORD005</t>
  </si>
  <si>
    <t>Customer_5</t>
  </si>
  <si>
    <t>Rajasthan</t>
  </si>
  <si>
    <t>Keyboard</t>
  </si>
  <si>
    <t>ORD006</t>
  </si>
  <si>
    <t>Customer_6</t>
  </si>
  <si>
    <t>Maharashtra</t>
  </si>
  <si>
    <t>Mouse</t>
  </si>
  <si>
    <t>ORD007</t>
  </si>
  <si>
    <t>Customer_7</t>
  </si>
  <si>
    <t>Monitor</t>
  </si>
  <si>
    <t>ORD008</t>
  </si>
  <si>
    <t>Customer_8</t>
  </si>
  <si>
    <t>ORD009</t>
  </si>
  <si>
    <t>Customer_9</t>
  </si>
  <si>
    <t>ORD010</t>
  </si>
  <si>
    <t>Customer_10</t>
  </si>
  <si>
    <t>ORD011</t>
  </si>
  <si>
    <t>Customer_11</t>
  </si>
  <si>
    <t>ORD012</t>
  </si>
  <si>
    <t>Customer_12</t>
  </si>
  <si>
    <t>ORD013</t>
  </si>
  <si>
    <t>Customer_13</t>
  </si>
  <si>
    <t>ORD014</t>
  </si>
  <si>
    <t>Customer_14</t>
  </si>
  <si>
    <t>ORD015</t>
  </si>
  <si>
    <t>Customer_15</t>
  </si>
  <si>
    <t>ORD016</t>
  </si>
  <si>
    <t>Customer_16</t>
  </si>
  <si>
    <t>ORD017</t>
  </si>
  <si>
    <t>Customer_17</t>
  </si>
  <si>
    <t>ORD018</t>
  </si>
  <si>
    <t>Customer_18</t>
  </si>
  <si>
    <t>ORD019</t>
  </si>
  <si>
    <t>Customer_19</t>
  </si>
  <si>
    <t>ORD020</t>
  </si>
  <si>
    <t>Customer_20</t>
  </si>
  <si>
    <t>ORD021</t>
  </si>
  <si>
    <t>Customer_21</t>
  </si>
  <si>
    <t>ORD022</t>
  </si>
  <si>
    <t>Customer_22</t>
  </si>
  <si>
    <t>ORD023</t>
  </si>
  <si>
    <t>Customer_23</t>
  </si>
  <si>
    <t>ORD024</t>
  </si>
  <si>
    <t>Customer_24</t>
  </si>
  <si>
    <t>ORD025</t>
  </si>
  <si>
    <t>Customer_25</t>
  </si>
  <si>
    <t>ORD026</t>
  </si>
  <si>
    <t>Customer_26</t>
  </si>
  <si>
    <t>ORD027</t>
  </si>
  <si>
    <t>Customer_27</t>
  </si>
  <si>
    <t>ORD028</t>
  </si>
  <si>
    <t>Customer_28</t>
  </si>
  <si>
    <t>ORD029</t>
  </si>
  <si>
    <t>Customer_29</t>
  </si>
  <si>
    <t>ORD030</t>
  </si>
  <si>
    <t>Customer_30</t>
  </si>
  <si>
    <t>ORD031</t>
  </si>
  <si>
    <t>Customer_31</t>
  </si>
  <si>
    <t>ORD032</t>
  </si>
  <si>
    <t>Customer_32</t>
  </si>
  <si>
    <t>ORD033</t>
  </si>
  <si>
    <t>Customer_33</t>
  </si>
  <si>
    <t>ORD034</t>
  </si>
  <si>
    <t>Customer_34</t>
  </si>
  <si>
    <t>ORD035</t>
  </si>
  <si>
    <t>Customer_35</t>
  </si>
  <si>
    <t>ORD036</t>
  </si>
  <si>
    <t>Customer_36</t>
  </si>
  <si>
    <t>ORD037</t>
  </si>
  <si>
    <t>Customer_37</t>
  </si>
  <si>
    <t>ORD038</t>
  </si>
  <si>
    <t>Customer_38</t>
  </si>
  <si>
    <t>ORD039</t>
  </si>
  <si>
    <t>Customer_39</t>
  </si>
  <si>
    <t>ORD040</t>
  </si>
  <si>
    <t>Customer_40</t>
  </si>
  <si>
    <t>Row Labels</t>
  </si>
  <si>
    <t>Grand Total</t>
  </si>
  <si>
    <t>Sum of Total_Sales</t>
  </si>
  <si>
    <t>State Wise
Sales Report</t>
  </si>
  <si>
    <t>Product Wise
Sales Report</t>
  </si>
  <si>
    <t>Category Wise 
Sales Report</t>
  </si>
  <si>
    <t>Total Sales by State</t>
  </si>
  <si>
    <t>Total Sales by Category</t>
  </si>
  <si>
    <t>Total Sale by State</t>
  </si>
  <si>
    <t>Total Sale by Category</t>
  </si>
  <si>
    <t>Total Sale by Product</t>
  </si>
  <si>
    <r>
      <t xml:space="preserve">💰
</t>
    </r>
    <r>
      <rPr>
        <sz val="16"/>
        <color theme="1"/>
        <rFont val="Calibri"/>
        <family val="2"/>
        <scheme val="minor"/>
      </rPr>
      <t>Total Sale</t>
    </r>
  </si>
  <si>
    <r>
      <rPr>
        <sz val="35"/>
        <color theme="1"/>
        <rFont val="Calibri"/>
        <family val="2"/>
        <scheme val="minor"/>
      </rPr>
      <t xml:space="preserve">📦
</t>
    </r>
    <r>
      <rPr>
        <sz val="16"/>
        <color theme="1"/>
        <rFont val="Calibri"/>
        <family val="2"/>
        <scheme val="minor"/>
      </rPr>
      <t>Total Orders</t>
    </r>
  </si>
  <si>
    <r>
      <rPr>
        <sz val="35"/>
        <color theme="1"/>
        <rFont val="Calibri"/>
        <family val="2"/>
        <scheme val="minor"/>
      </rPr>
      <t xml:space="preserve">🏆
</t>
    </r>
    <r>
      <rPr>
        <sz val="16"/>
        <color theme="1"/>
        <rFont val="Calibri"/>
        <family val="2"/>
        <scheme val="minor"/>
      </rPr>
      <t>Top Product</t>
    </r>
  </si>
  <si>
    <r>
      <t xml:space="preserve">📍
</t>
    </r>
    <r>
      <rPr>
        <sz val="16"/>
        <color theme="1"/>
        <rFont val="Calibri"/>
        <family val="2"/>
        <scheme val="minor"/>
      </rPr>
      <t>Top State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</si>
</sst>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9" x14ac:knownFonts="1">
    <font>
      <sz val="11"/>
      <color theme="1"/>
      <name val="Calibri"/>
      <family val="2"/>
      <scheme val="minor"/>
    </font>
    <font>
      <b/>
      <sz val="11"/>
      <color theme="0"/>
      <name val="Calibri"/>
      <family val="2"/>
      <scheme val="minor"/>
    </font>
    <font>
      <b/>
      <sz val="16"/>
      <color theme="1"/>
      <name val="Calibri"/>
      <family val="2"/>
      <scheme val="minor"/>
    </font>
    <font>
      <sz val="26"/>
      <color theme="1"/>
      <name val="Calibri"/>
      <family val="2"/>
      <scheme val="minor"/>
    </font>
    <font>
      <sz val="16"/>
      <color theme="1"/>
      <name val="Calibri"/>
      <family val="2"/>
      <scheme val="minor"/>
    </font>
    <font>
      <b/>
      <sz val="18"/>
      <color theme="1" tint="4.9989318521683403E-2"/>
      <name val="Times New Roman"/>
      <family val="1"/>
    </font>
    <font>
      <b/>
      <sz val="18"/>
      <color theme="1"/>
      <name val="Times New Roman"/>
      <family val="1"/>
    </font>
    <font>
      <sz val="20"/>
      <color theme="1"/>
      <name val="Calibri"/>
      <family val="2"/>
      <scheme val="minor"/>
    </font>
    <font>
      <sz val="35"/>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4" tint="0.59999389629810485"/>
        <bgColor indexed="64"/>
      </patternFill>
    </fill>
  </fills>
  <borders count="10">
    <border>
      <left/>
      <right/>
      <top/>
      <bottom/>
      <diagonal/>
    </border>
    <border>
      <left style="thick">
        <color theme="2"/>
      </left>
      <right style="thick">
        <color theme="2"/>
      </right>
      <top style="thick">
        <color theme="2"/>
      </top>
      <bottom style="thick">
        <color theme="2"/>
      </bottom>
      <diagonal/>
    </border>
    <border>
      <left style="thick">
        <color theme="2"/>
      </left>
      <right/>
      <top style="thick">
        <color theme="2"/>
      </top>
      <bottom/>
      <diagonal/>
    </border>
    <border>
      <left/>
      <right style="thick">
        <color theme="2"/>
      </right>
      <top style="thick">
        <color theme="2"/>
      </top>
      <bottom/>
      <diagonal/>
    </border>
    <border>
      <left style="thick">
        <color theme="2"/>
      </left>
      <right/>
      <top/>
      <bottom/>
      <diagonal/>
    </border>
    <border>
      <left/>
      <right style="thick">
        <color theme="2"/>
      </right>
      <top/>
      <bottom/>
      <diagonal/>
    </border>
    <border>
      <left style="thick">
        <color theme="2"/>
      </left>
      <right/>
      <top/>
      <bottom style="thick">
        <color theme="2"/>
      </bottom>
      <diagonal/>
    </border>
    <border>
      <left/>
      <right style="thick">
        <color theme="2"/>
      </right>
      <top/>
      <bottom style="thick">
        <color theme="2"/>
      </bottom>
      <diagonal/>
    </border>
    <border>
      <left/>
      <right/>
      <top/>
      <bottom style="thick">
        <color theme="2"/>
      </bottom>
      <diagonal/>
    </border>
    <border>
      <left/>
      <right/>
      <top style="thick">
        <color theme="2"/>
      </top>
      <bottom/>
      <diagonal/>
    </border>
  </borders>
  <cellStyleXfs count="1">
    <xf numFmtId="0" fontId="0" fillId="0" borderId="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0" borderId="0" xfId="0" applyAlignment="1">
      <alignment horizontal="left" indent="2"/>
    </xf>
    <xf numFmtId="0" fontId="3" fillId="0" borderId="0" xfId="0" applyFont="1" applyAlignment="1">
      <alignment vertical="center"/>
    </xf>
    <xf numFmtId="0" fontId="0" fillId="0" borderId="0" xfId="0"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0" fontId="8"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8" xfId="0" applyFont="1" applyFill="1" applyBorder="1" applyAlignment="1">
      <alignment horizontal="center" vertical="center" wrapText="1"/>
    </xf>
    <xf numFmtId="164" fontId="7" fillId="0" borderId="1" xfId="0" applyNumberFormat="1" applyFont="1" applyBorder="1" applyAlignment="1">
      <alignment horizontal="center" vertical="center"/>
    </xf>
    <xf numFmtId="0" fontId="7" fillId="0" borderId="1" xfId="0" applyFont="1" applyBorder="1" applyAlignment="1">
      <alignment horizontal="center" vertical="center"/>
    </xf>
  </cellXfs>
  <cellStyles count="1">
    <cellStyle name="Normal" xfId="0" builtinId="0"/>
  </cellStyles>
  <dxfs count="2">
    <dxf>
      <numFmt numFmtId="19" formatCode="dd/mm/yyyy"/>
    </dxf>
    <dxf>
      <font>
        <b/>
        <strike val="0"/>
        <outline val="0"/>
        <shadow val="0"/>
        <u val="none"/>
        <vertAlign val="baseline"/>
        <sz val="11"/>
        <color theme="0"/>
        <name val="Calibri"/>
        <family val="2"/>
        <scheme val="minor"/>
      </font>
      <fill>
        <patternFill patternType="solid">
          <fgColor indexed="64"/>
          <bgColor theme="1"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[sales_dashboard_project.xlsx]Pivot report!PivotTable2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2060"/>
                </a:solidFill>
              </a:rPr>
              <a:t>Total Sale by State</a:t>
            </a:r>
          </a:p>
        </c:rich>
      </c:tx>
      <c:layout>
        <c:manualLayout>
          <c:xMode val="edge"/>
          <c:yMode val="edge"/>
          <c:x val="0.34827654235528244"/>
          <c:y val="7.9001634229683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2242219722536"/>
          <c:y val="0.20134396449655151"/>
          <c:w val="0.84163948256467946"/>
          <c:h val="0.52045240401732118"/>
        </c:manualLayout>
      </c:layout>
      <c:barChart>
        <c:barDir val="col"/>
        <c:grouping val="clustered"/>
        <c:varyColors val="0"/>
        <c:ser>
          <c:idx val="0"/>
          <c:order val="0"/>
          <c:tx>
            <c:strRef>
              <c:f>'Pivot report'!$B$3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report'!$A$4:$A$10</c:f>
              <c:strCache>
                <c:ptCount val="6"/>
                <c:pt idx="0">
                  <c:v>Delhi</c:v>
                </c:pt>
                <c:pt idx="1">
                  <c:v>Haryana</c:v>
                </c:pt>
                <c:pt idx="2">
                  <c:v>Maharashtra</c:v>
                </c:pt>
                <c:pt idx="3">
                  <c:v>Punjab</c:v>
                </c:pt>
                <c:pt idx="4">
                  <c:v>Rajasthan</c:v>
                </c:pt>
                <c:pt idx="5">
                  <c:v>UP</c:v>
                </c:pt>
              </c:strCache>
            </c:strRef>
          </c:cat>
          <c:val>
            <c:numRef>
              <c:f>'Pivot report'!$B$4:$B$10</c:f>
              <c:numCache>
                <c:formatCode>General</c:formatCode>
                <c:ptCount val="6"/>
                <c:pt idx="0">
                  <c:v>232200</c:v>
                </c:pt>
                <c:pt idx="1">
                  <c:v>165200</c:v>
                </c:pt>
                <c:pt idx="2">
                  <c:v>216200</c:v>
                </c:pt>
                <c:pt idx="3">
                  <c:v>134950</c:v>
                </c:pt>
                <c:pt idx="4">
                  <c:v>172500</c:v>
                </c:pt>
                <c:pt idx="5">
                  <c:v>271150</c:v>
                </c:pt>
              </c:numCache>
            </c:numRef>
          </c:val>
          <c:extLst>
            <c:ext xmlns:c16="http://schemas.microsoft.com/office/drawing/2014/chart" uri="{C3380CC4-5D6E-409C-BE32-E72D297353CC}">
              <c16:uniqueId val="{00000000-6DB6-4BE9-A281-12207DD340F9}"/>
            </c:ext>
          </c:extLst>
        </c:ser>
        <c:dLbls>
          <c:dLblPos val="outEnd"/>
          <c:showLegendKey val="0"/>
          <c:showVal val="1"/>
          <c:showCatName val="0"/>
          <c:showSerName val="0"/>
          <c:showPercent val="0"/>
          <c:showBubbleSize val="0"/>
        </c:dLbls>
        <c:gapWidth val="219"/>
        <c:overlap val="-27"/>
        <c:axId val="1066699184"/>
        <c:axId val="1066683344"/>
      </c:barChart>
      <c:catAx>
        <c:axId val="106669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83344"/>
        <c:crosses val="autoZero"/>
        <c:auto val="1"/>
        <c:lblAlgn val="ctr"/>
        <c:lblOffset val="100"/>
        <c:noMultiLvlLbl val="0"/>
      </c:catAx>
      <c:valAx>
        <c:axId val="1066683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9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[sales_dashboard_project.xlsx]Pivot report!PivotTable3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Total sale by Product</a:t>
            </a:r>
            <a:endParaRPr lang="en-US" sz="1400" b="1">
              <a:solidFill>
                <a:srgbClr val="002060"/>
              </a:solidFill>
            </a:endParaRPr>
          </a:p>
        </c:rich>
      </c:tx>
      <c:layout>
        <c:manualLayout>
          <c:xMode val="edge"/>
          <c:yMode val="edge"/>
          <c:x val="0.35783626361773269"/>
          <c:y val="7.50860975612148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0972926329414"/>
          <c:y val="0.18088408252765872"/>
          <c:w val="0.84260501683864875"/>
          <c:h val="0.56197118826055836"/>
        </c:manualLayout>
      </c:layout>
      <c:barChart>
        <c:barDir val="col"/>
        <c:grouping val="clustered"/>
        <c:varyColors val="0"/>
        <c:ser>
          <c:idx val="0"/>
          <c:order val="0"/>
          <c:tx>
            <c:strRef>
              <c:f>'Pivot report'!$E$3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report'!$D$4:$D$11</c:f>
              <c:strCache>
                <c:ptCount val="7"/>
                <c:pt idx="0">
                  <c:v>Headphones</c:v>
                </c:pt>
                <c:pt idx="1">
                  <c:v>Keyboard</c:v>
                </c:pt>
                <c:pt idx="2">
                  <c:v>Laptop</c:v>
                </c:pt>
                <c:pt idx="3">
                  <c:v>Mobile</c:v>
                </c:pt>
                <c:pt idx="4">
                  <c:v>Monitor</c:v>
                </c:pt>
                <c:pt idx="5">
                  <c:v>Mouse</c:v>
                </c:pt>
                <c:pt idx="6">
                  <c:v>Tablet</c:v>
                </c:pt>
              </c:strCache>
            </c:strRef>
          </c:cat>
          <c:val>
            <c:numRef>
              <c:f>'Pivot report'!$E$4:$E$11</c:f>
              <c:numCache>
                <c:formatCode>General</c:formatCode>
                <c:ptCount val="7"/>
                <c:pt idx="0">
                  <c:v>44100</c:v>
                </c:pt>
                <c:pt idx="1">
                  <c:v>17200</c:v>
                </c:pt>
                <c:pt idx="2">
                  <c:v>522000</c:v>
                </c:pt>
                <c:pt idx="3">
                  <c:v>368000</c:v>
                </c:pt>
                <c:pt idx="4">
                  <c:v>81500</c:v>
                </c:pt>
                <c:pt idx="5">
                  <c:v>14900</c:v>
                </c:pt>
                <c:pt idx="6">
                  <c:v>144500</c:v>
                </c:pt>
              </c:numCache>
            </c:numRef>
          </c:val>
          <c:extLst>
            <c:ext xmlns:c16="http://schemas.microsoft.com/office/drawing/2014/chart" uri="{C3380CC4-5D6E-409C-BE32-E72D297353CC}">
              <c16:uniqueId val="{00000000-5560-4E28-8AFE-9290B1F6AA5B}"/>
            </c:ext>
          </c:extLst>
        </c:ser>
        <c:dLbls>
          <c:dLblPos val="outEnd"/>
          <c:showLegendKey val="0"/>
          <c:showVal val="1"/>
          <c:showCatName val="0"/>
          <c:showSerName val="0"/>
          <c:showPercent val="0"/>
          <c:showBubbleSize val="0"/>
        </c:dLbls>
        <c:gapWidth val="219"/>
        <c:overlap val="-27"/>
        <c:axId val="1066704464"/>
        <c:axId val="1066705424"/>
      </c:barChart>
      <c:catAx>
        <c:axId val="106670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705424"/>
        <c:crosses val="autoZero"/>
        <c:auto val="1"/>
        <c:lblAlgn val="ctr"/>
        <c:lblOffset val="100"/>
        <c:noMultiLvlLbl val="0"/>
      </c:catAx>
      <c:valAx>
        <c:axId val="106670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70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[sales_dashboard_project.xlsx]Pivot report!PivotTable4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Total Sale</a:t>
            </a:r>
            <a:r>
              <a:rPr lang="en-US" sz="1600" b="1" baseline="0">
                <a:solidFill>
                  <a:srgbClr val="002060"/>
                </a:solidFill>
              </a:rPr>
              <a:t> by </a:t>
            </a:r>
            <a:r>
              <a:rPr lang="en-US" sz="1600" b="1">
                <a:solidFill>
                  <a:srgbClr val="002060"/>
                </a:solidFill>
              </a:rPr>
              <a:t>Category</a:t>
            </a:r>
          </a:p>
        </c:rich>
      </c:tx>
      <c:layout>
        <c:manualLayout>
          <c:xMode val="edge"/>
          <c:yMode val="edge"/>
          <c:x val="0.34355937982404866"/>
          <c:y val="6.69238845144357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44784942422739"/>
          <c:y val="0.20262233887430739"/>
          <c:w val="0.82651911754273955"/>
          <c:h val="0.64593715785526806"/>
        </c:manualLayout>
      </c:layout>
      <c:barChart>
        <c:barDir val="col"/>
        <c:grouping val="clustered"/>
        <c:varyColors val="0"/>
        <c:ser>
          <c:idx val="0"/>
          <c:order val="0"/>
          <c:tx>
            <c:strRef>
              <c:f>'Pivot report'!$H$3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report'!$G$4:$G$6</c:f>
              <c:strCache>
                <c:ptCount val="2"/>
                <c:pt idx="0">
                  <c:v>Accessories</c:v>
                </c:pt>
                <c:pt idx="1">
                  <c:v>Electronics</c:v>
                </c:pt>
              </c:strCache>
            </c:strRef>
          </c:cat>
          <c:val>
            <c:numRef>
              <c:f>'Pivot report'!$H$4:$H$6</c:f>
              <c:numCache>
                <c:formatCode>General</c:formatCode>
                <c:ptCount val="2"/>
                <c:pt idx="0">
                  <c:v>76200</c:v>
                </c:pt>
                <c:pt idx="1">
                  <c:v>1116000</c:v>
                </c:pt>
              </c:numCache>
            </c:numRef>
          </c:val>
          <c:extLst>
            <c:ext xmlns:c16="http://schemas.microsoft.com/office/drawing/2014/chart" uri="{C3380CC4-5D6E-409C-BE32-E72D297353CC}">
              <c16:uniqueId val="{00000000-068E-4D36-9841-AB3A87E1A279}"/>
            </c:ext>
          </c:extLst>
        </c:ser>
        <c:dLbls>
          <c:dLblPos val="outEnd"/>
          <c:showLegendKey val="0"/>
          <c:showVal val="1"/>
          <c:showCatName val="0"/>
          <c:showSerName val="0"/>
          <c:showPercent val="0"/>
          <c:showBubbleSize val="0"/>
        </c:dLbls>
        <c:gapWidth val="219"/>
        <c:overlap val="-27"/>
        <c:axId val="1697500928"/>
        <c:axId val="1697501408"/>
      </c:barChart>
      <c:catAx>
        <c:axId val="169750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01408"/>
        <c:crosses val="autoZero"/>
        <c:auto val="1"/>
        <c:lblAlgn val="ctr"/>
        <c:lblOffset val="100"/>
        <c:noMultiLvlLbl val="0"/>
      </c:catAx>
      <c:valAx>
        <c:axId val="169750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0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19050</xdr:rowOff>
    </xdr:from>
    <xdr:to>
      <xdr:col>7</xdr:col>
      <xdr:colOff>0</xdr:colOff>
      <xdr:row>29</xdr:row>
      <xdr:rowOff>104775</xdr:rowOff>
    </xdr:to>
    <xdr:graphicFrame macro="">
      <xdr:nvGraphicFramePr>
        <xdr:cNvPr id="2" name="Chart 1">
          <a:extLst>
            <a:ext uri="{FF2B5EF4-FFF2-40B4-BE49-F238E27FC236}">
              <a16:creationId xmlns:a16="http://schemas.microsoft.com/office/drawing/2014/main" id="{EC616B57-C208-4737-801B-49F83FD2F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590550</xdr:colOff>
      <xdr:row>12</xdr:row>
      <xdr:rowOff>19050</xdr:rowOff>
    </xdr:from>
    <xdr:to>
      <xdr:col>13</xdr:col>
      <xdr:colOff>323850</xdr:colOff>
      <xdr:row>29</xdr:row>
      <xdr:rowOff>123825</xdr:rowOff>
    </xdr:to>
    <xdr:graphicFrame macro="">
      <xdr:nvGraphicFramePr>
        <xdr:cNvPr id="4" name="Chart 3">
          <a:extLst>
            <a:ext uri="{FF2B5EF4-FFF2-40B4-BE49-F238E27FC236}">
              <a16:creationId xmlns:a16="http://schemas.microsoft.com/office/drawing/2014/main" id="{E3C2CADC-F171-4E7E-9C3A-C36B37A2C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323850</xdr:colOff>
      <xdr:row>12</xdr:row>
      <xdr:rowOff>9525</xdr:rowOff>
    </xdr:from>
    <xdr:to>
      <xdr:col>20</xdr:col>
      <xdr:colOff>326922</xdr:colOff>
      <xdr:row>29</xdr:row>
      <xdr:rowOff>95250</xdr:rowOff>
    </xdr:to>
    <xdr:graphicFrame macro="">
      <xdr:nvGraphicFramePr>
        <xdr:cNvPr id="5" name="Chart 4">
          <a:extLst>
            <a:ext uri="{FF2B5EF4-FFF2-40B4-BE49-F238E27FC236}">
              <a16:creationId xmlns:a16="http://schemas.microsoft.com/office/drawing/2014/main" id="{A593C712-DF43-4E54-9A81-BCAFDA15C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602841</xdr:colOff>
      <xdr:row>0</xdr:row>
      <xdr:rowOff>0</xdr:rowOff>
    </xdr:from>
    <xdr:to>
      <xdr:col>5</xdr:col>
      <xdr:colOff>602840</xdr:colOff>
      <xdr:row>7</xdr:row>
      <xdr:rowOff>38100</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2BAC2C7A-917C-4D5B-80B7-9C2E1201374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822041" y="0"/>
              <a:ext cx="1828799"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1</xdr:colOff>
      <xdr:row>11</xdr:row>
      <xdr:rowOff>181590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CFE01A56-D39F-4F8B-B40B-8C1A6D5EDF2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0"/>
              <a:ext cx="1828801" cy="2362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602226</xdr:colOff>
      <xdr:row>7</xdr:row>
      <xdr:rowOff>0</xdr:rowOff>
    </xdr:from>
    <xdr:to>
      <xdr:col>5</xdr:col>
      <xdr:colOff>602225</xdr:colOff>
      <xdr:row>12</xdr:row>
      <xdr:rowOff>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3A49AFD7-7A4F-4CB3-AF30-BB73E541B5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21426" y="1400175"/>
              <a:ext cx="1828799"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38099</xdr:colOff>
      <xdr:row>0</xdr:row>
      <xdr:rowOff>1</xdr:rowOff>
    </xdr:from>
    <xdr:to>
      <xdr:col>20</xdr:col>
      <xdr:colOff>352730</xdr:colOff>
      <xdr:row>12</xdr:row>
      <xdr:rowOff>9526</xdr:rowOff>
    </xdr:to>
    <xdr:sp macro="" textlink="">
      <xdr:nvSpPr>
        <xdr:cNvPr id="3" name="Rectangle 2">
          <a:extLst>
            <a:ext uri="{FF2B5EF4-FFF2-40B4-BE49-F238E27FC236}">
              <a16:creationId xmlns:a16="http://schemas.microsoft.com/office/drawing/2014/main" id="{245BB3CD-4C88-49C1-0FFD-01E18E3D7778}"/>
            </a:ext>
          </a:extLst>
        </xdr:cNvPr>
        <xdr:cNvSpPr/>
      </xdr:nvSpPr>
      <xdr:spPr>
        <a:xfrm>
          <a:off x="8572499" y="1"/>
          <a:ext cx="3972231" cy="238125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t>📊 Key Insights</a:t>
          </a:r>
        </a:p>
        <a:p>
          <a:pPr algn="l"/>
          <a:r>
            <a:rPr lang="en-IN" sz="1200" b="0"/>
            <a:t>• </a:t>
          </a:r>
          <a:r>
            <a:rPr lang="en-IN" sz="1400" b="1">
              <a:solidFill>
                <a:srgbClr val="C00000"/>
              </a:solidFill>
            </a:rPr>
            <a:t>Laptop</a:t>
          </a:r>
          <a:r>
            <a:rPr lang="en-IN" sz="1400" b="0"/>
            <a:t> is the top-selling product</a:t>
          </a:r>
        </a:p>
        <a:p>
          <a:pPr algn="l"/>
          <a:r>
            <a:rPr lang="en-IN" sz="1400" b="0"/>
            <a:t>• </a:t>
          </a:r>
          <a:r>
            <a:rPr lang="en-IN" sz="1400" b="1">
              <a:solidFill>
                <a:srgbClr val="C00000"/>
              </a:solidFill>
            </a:rPr>
            <a:t>Mobile</a:t>
          </a:r>
          <a:r>
            <a:rPr lang="en-IN" sz="1400" b="0"/>
            <a:t> is the second highest selling product</a:t>
          </a:r>
        </a:p>
        <a:p>
          <a:pPr algn="l"/>
          <a:r>
            <a:rPr lang="en-IN" sz="1400" b="0"/>
            <a:t>• </a:t>
          </a:r>
          <a:r>
            <a:rPr lang="en-IN" sz="1400" b="1">
              <a:solidFill>
                <a:srgbClr val="C00000"/>
              </a:solidFill>
            </a:rPr>
            <a:t>UP</a:t>
          </a:r>
          <a:r>
            <a:rPr lang="en-IN" sz="1400" b="0"/>
            <a:t> has the highest sales among all states</a:t>
          </a:r>
        </a:p>
        <a:p>
          <a:pPr algn="l"/>
          <a:r>
            <a:rPr lang="en-IN" sz="1400" b="0"/>
            <a:t>• </a:t>
          </a:r>
          <a:r>
            <a:rPr lang="en-IN" sz="1400" b="1">
              <a:solidFill>
                <a:srgbClr val="C00000"/>
              </a:solidFill>
            </a:rPr>
            <a:t>Delhi</a:t>
          </a:r>
          <a:r>
            <a:rPr lang="en-IN" sz="1400" b="0"/>
            <a:t> is the second top-performing state</a:t>
          </a:r>
        </a:p>
        <a:p>
          <a:pPr algn="l"/>
          <a:r>
            <a:rPr lang="en-IN" sz="1400" b="0"/>
            <a:t>• </a:t>
          </a:r>
          <a:r>
            <a:rPr lang="en-IN" sz="1400" b="1">
              <a:solidFill>
                <a:srgbClr val="C00000"/>
              </a:solidFill>
            </a:rPr>
            <a:t>Electronics</a:t>
          </a:r>
          <a:r>
            <a:rPr lang="en-IN" sz="1400" b="0"/>
            <a:t> category dominates total revenue</a:t>
          </a:r>
        </a:p>
        <a:p>
          <a:pPr algn="l"/>
          <a:r>
            <a:rPr lang="en-IN" sz="1400" b="0"/>
            <a:t>• Accessories contribute very less to sales</a:t>
          </a:r>
        </a:p>
        <a:p>
          <a:pPr algn="l"/>
          <a:r>
            <a:rPr lang="en-IN" sz="1600" b="1">
              <a:solidFill>
                <a:srgbClr val="FFFF00"/>
              </a:solidFill>
            </a:rPr>
            <a:t>Business heavily depends on Electronics products, especially Laptop sales.</a:t>
          </a:r>
        </a:p>
        <a:p>
          <a:pPr algn="ctr"/>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ka dahiya" refreshedDate="46120.411855555554" createdVersion="8" refreshedVersion="8" minRefreshableVersion="3" recordCount="40" xr:uid="{8077985C-918E-4FBD-92F6-B678B609D1D8}">
  <cacheSource type="worksheet">
    <worksheetSource name="Table2"/>
  </cacheSource>
  <cacheFields count="9">
    <cacheField name="Order_ID" numFmtId="0">
      <sharedItems/>
    </cacheField>
    <cacheField name="Order_Date" numFmtId="14">
      <sharedItems containsSemiMixedTypes="0" containsNonDate="0" containsDate="1" containsString="0" minDate="2024-01-05T00:00:00" maxDate="2024-07-16T00:00:00"/>
    </cacheField>
    <cacheField name="Customer_Name" numFmtId="0">
      <sharedItems/>
    </cacheField>
    <cacheField name="State" numFmtId="0">
      <sharedItems count="6">
        <s v="Delhi"/>
        <s v="Haryana"/>
        <s v="Punjab"/>
        <s v="UP"/>
        <s v="Rajasthan"/>
        <s v="Maharashtra"/>
      </sharedItems>
    </cacheField>
    <cacheField name="Product" numFmtId="0">
      <sharedItems count="7">
        <s v="Laptop"/>
        <s v="Mobile"/>
        <s v="Tablet"/>
        <s v="Headphones"/>
        <s v="Keyboard"/>
        <s v="Mouse"/>
        <s v="Monitor"/>
      </sharedItems>
    </cacheField>
    <cacheField name="Category" numFmtId="0">
      <sharedItems count="2">
        <s v="Electronics"/>
        <s v="Accessorie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700" maxValue="62000"/>
    </cacheField>
    <cacheField name="Total_Sales" numFmtId="0">
      <sharedItems containsSemiMixedTypes="0" containsString="0" containsNumber="1" containsInteger="1" minValue="1400" maxValue="118000"/>
    </cacheField>
  </cacheFields>
  <extLst>
    <ext xmlns:x14="http://schemas.microsoft.com/office/spreadsheetml/2009/9/main" uri="{725AE2AE-9491-48be-B2B4-4EB974FC3084}">
      <x14:pivotCacheDefinition pivotCacheId="1225823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ORD001"/>
    <d v="2024-01-05T00:00:00"/>
    <s v="Customer_1"/>
    <x v="0"/>
    <x v="0"/>
    <x v="0"/>
    <n v="2"/>
    <n v="55000"/>
    <n v="110000"/>
  </r>
  <r>
    <s v="ORD002"/>
    <d v="2024-01-10T00:00:00"/>
    <s v="Customer_2"/>
    <x v="1"/>
    <x v="1"/>
    <x v="0"/>
    <n v="3"/>
    <n v="20000"/>
    <n v="60000"/>
  </r>
  <r>
    <s v="ORD003"/>
    <d v="2024-01-15T00:00:00"/>
    <s v="Customer_3"/>
    <x v="2"/>
    <x v="2"/>
    <x v="0"/>
    <n v="1"/>
    <n v="15000"/>
    <n v="15000"/>
  </r>
  <r>
    <s v="ORD004"/>
    <d v="2024-01-18T00:00:00"/>
    <s v="Customer_4"/>
    <x v="3"/>
    <x v="3"/>
    <x v="1"/>
    <n v="4"/>
    <n v="2000"/>
    <n v="8000"/>
  </r>
  <r>
    <s v="ORD005"/>
    <d v="2024-01-22T00:00:00"/>
    <s v="Customer_5"/>
    <x v="4"/>
    <x v="4"/>
    <x v="1"/>
    <n v="2"/>
    <n v="1500"/>
    <n v="3000"/>
  </r>
  <r>
    <s v="ORD006"/>
    <d v="2024-01-25T00:00:00"/>
    <s v="Customer_6"/>
    <x v="5"/>
    <x v="5"/>
    <x v="1"/>
    <n v="5"/>
    <n v="800"/>
    <n v="4000"/>
  </r>
  <r>
    <s v="ORD007"/>
    <d v="2024-02-02T00:00:00"/>
    <s v="Customer_7"/>
    <x v="0"/>
    <x v="6"/>
    <x v="0"/>
    <n v="1"/>
    <n v="12000"/>
    <n v="12000"/>
  </r>
  <r>
    <s v="ORD008"/>
    <d v="2024-02-05T00:00:00"/>
    <s v="Customer_8"/>
    <x v="1"/>
    <x v="0"/>
    <x v="0"/>
    <n v="1"/>
    <n v="60000"/>
    <n v="60000"/>
  </r>
  <r>
    <s v="ORD009"/>
    <d v="2024-02-10T00:00:00"/>
    <s v="Customer_9"/>
    <x v="2"/>
    <x v="1"/>
    <x v="0"/>
    <n v="2"/>
    <n v="18000"/>
    <n v="36000"/>
  </r>
  <r>
    <s v="ORD010"/>
    <d v="2024-02-14T00:00:00"/>
    <s v="Customer_10"/>
    <x v="3"/>
    <x v="2"/>
    <x v="0"/>
    <n v="3"/>
    <n v="14000"/>
    <n v="42000"/>
  </r>
  <r>
    <s v="ORD011"/>
    <d v="2024-02-18T00:00:00"/>
    <s v="Customer_11"/>
    <x v="4"/>
    <x v="3"/>
    <x v="1"/>
    <n v="2"/>
    <n v="2500"/>
    <n v="5000"/>
  </r>
  <r>
    <s v="ORD012"/>
    <d v="2024-02-22T00:00:00"/>
    <s v="Customer_12"/>
    <x v="5"/>
    <x v="4"/>
    <x v="1"/>
    <n v="3"/>
    <n v="1200"/>
    <n v="3600"/>
  </r>
  <r>
    <s v="ORD013"/>
    <d v="2024-03-01T00:00:00"/>
    <s v="Customer_13"/>
    <x v="0"/>
    <x v="5"/>
    <x v="1"/>
    <n v="4"/>
    <n v="700"/>
    <n v="2800"/>
  </r>
  <r>
    <s v="ORD014"/>
    <d v="2024-03-05T00:00:00"/>
    <s v="Customer_14"/>
    <x v="1"/>
    <x v="6"/>
    <x v="0"/>
    <n v="2"/>
    <n v="10000"/>
    <n v="20000"/>
  </r>
  <r>
    <s v="ORD015"/>
    <d v="2024-03-10T00:00:00"/>
    <s v="Customer_15"/>
    <x v="2"/>
    <x v="0"/>
    <x v="0"/>
    <n v="1"/>
    <n v="58000"/>
    <n v="58000"/>
  </r>
  <r>
    <s v="ORD016"/>
    <d v="2024-03-15T00:00:00"/>
    <s v="Customer_16"/>
    <x v="3"/>
    <x v="1"/>
    <x v="0"/>
    <n v="5"/>
    <n v="15000"/>
    <n v="75000"/>
  </r>
  <r>
    <s v="ORD017"/>
    <d v="2024-03-20T00:00:00"/>
    <s v="Customer_17"/>
    <x v="4"/>
    <x v="2"/>
    <x v="0"/>
    <n v="2"/>
    <n v="13000"/>
    <n v="26000"/>
  </r>
  <r>
    <s v="ORD018"/>
    <d v="2024-03-25T00:00:00"/>
    <s v="Customer_18"/>
    <x v="5"/>
    <x v="3"/>
    <x v="1"/>
    <n v="3"/>
    <n v="2200"/>
    <n v="6600"/>
  </r>
  <r>
    <s v="ORD019"/>
    <d v="2024-04-01T00:00:00"/>
    <s v="Customer_19"/>
    <x v="0"/>
    <x v="4"/>
    <x v="1"/>
    <n v="1"/>
    <n v="1400"/>
    <n v="1400"/>
  </r>
  <r>
    <s v="ORD020"/>
    <d v="2024-04-05T00:00:00"/>
    <s v="Customer_20"/>
    <x v="1"/>
    <x v="5"/>
    <x v="1"/>
    <n v="2"/>
    <n v="900"/>
    <n v="1800"/>
  </r>
  <r>
    <s v="ORD021"/>
    <d v="2024-04-10T00:00:00"/>
    <s v="Customer_21"/>
    <x v="2"/>
    <x v="6"/>
    <x v="0"/>
    <n v="1"/>
    <n v="11000"/>
    <n v="11000"/>
  </r>
  <r>
    <s v="ORD022"/>
    <d v="2024-04-15T00:00:00"/>
    <s v="Customer_22"/>
    <x v="3"/>
    <x v="0"/>
    <x v="0"/>
    <n v="2"/>
    <n v="57000"/>
    <n v="114000"/>
  </r>
  <r>
    <s v="ORD023"/>
    <d v="2024-04-18T00:00:00"/>
    <s v="Customer_23"/>
    <x v="4"/>
    <x v="1"/>
    <x v="0"/>
    <n v="3"/>
    <n v="21000"/>
    <n v="63000"/>
  </r>
  <r>
    <s v="ORD024"/>
    <d v="2024-04-22T00:00:00"/>
    <s v="Customer_24"/>
    <x v="5"/>
    <x v="2"/>
    <x v="0"/>
    <n v="1"/>
    <n v="16000"/>
    <n v="16000"/>
  </r>
  <r>
    <s v="ORD025"/>
    <d v="2024-05-01T00:00:00"/>
    <s v="Customer_25"/>
    <x v="0"/>
    <x v="3"/>
    <x v="1"/>
    <n v="5"/>
    <n v="1800"/>
    <n v="9000"/>
  </r>
  <r>
    <s v="ORD026"/>
    <d v="2024-05-05T00:00:00"/>
    <s v="Customer_26"/>
    <x v="1"/>
    <x v="4"/>
    <x v="1"/>
    <n v="2"/>
    <n v="1300"/>
    <n v="2600"/>
  </r>
  <r>
    <s v="ORD027"/>
    <d v="2024-05-10T00:00:00"/>
    <s v="Customer_27"/>
    <x v="2"/>
    <x v="5"/>
    <x v="1"/>
    <n v="3"/>
    <n v="850"/>
    <n v="2550"/>
  </r>
  <r>
    <s v="ORD028"/>
    <d v="2024-05-15T00:00:00"/>
    <s v="Customer_28"/>
    <x v="3"/>
    <x v="6"/>
    <x v="0"/>
    <n v="2"/>
    <n v="12500"/>
    <n v="25000"/>
  </r>
  <r>
    <s v="ORD029"/>
    <d v="2024-05-20T00:00:00"/>
    <s v="Customer_29"/>
    <x v="4"/>
    <x v="0"/>
    <x v="0"/>
    <n v="1"/>
    <n v="62000"/>
    <n v="62000"/>
  </r>
  <r>
    <s v="ORD030"/>
    <d v="2024-05-25T00:00:00"/>
    <s v="Customer_30"/>
    <x v="5"/>
    <x v="1"/>
    <x v="0"/>
    <n v="4"/>
    <n v="17000"/>
    <n v="68000"/>
  </r>
  <r>
    <s v="ORD031"/>
    <d v="2024-06-01T00:00:00"/>
    <s v="Customer_31"/>
    <x v="0"/>
    <x v="2"/>
    <x v="0"/>
    <n v="2"/>
    <n v="15500"/>
    <n v="31000"/>
  </r>
  <r>
    <s v="ORD032"/>
    <d v="2024-06-05T00:00:00"/>
    <s v="Customer_32"/>
    <x v="1"/>
    <x v="3"/>
    <x v="1"/>
    <n v="3"/>
    <n v="2100"/>
    <n v="6300"/>
  </r>
  <r>
    <s v="ORD033"/>
    <d v="2024-06-10T00:00:00"/>
    <s v="Customer_33"/>
    <x v="2"/>
    <x v="4"/>
    <x v="1"/>
    <n v="2"/>
    <n v="1600"/>
    <n v="3200"/>
  </r>
  <r>
    <s v="ORD034"/>
    <d v="2024-06-15T00:00:00"/>
    <s v="Customer_34"/>
    <x v="3"/>
    <x v="5"/>
    <x v="1"/>
    <n v="5"/>
    <n v="750"/>
    <n v="3750"/>
  </r>
  <r>
    <s v="ORD035"/>
    <d v="2024-06-20T00:00:00"/>
    <s v="Customer_35"/>
    <x v="4"/>
    <x v="6"/>
    <x v="0"/>
    <n v="1"/>
    <n v="13500"/>
    <n v="13500"/>
  </r>
  <r>
    <s v="ORD036"/>
    <d v="2024-06-25T00:00:00"/>
    <s v="Customer_36"/>
    <x v="5"/>
    <x v="0"/>
    <x v="0"/>
    <n v="2"/>
    <n v="59000"/>
    <n v="118000"/>
  </r>
  <r>
    <s v="ORD037"/>
    <d v="2024-07-01T00:00:00"/>
    <s v="Customer_37"/>
    <x v="0"/>
    <x v="1"/>
    <x v="0"/>
    <n v="3"/>
    <n v="22000"/>
    <n v="66000"/>
  </r>
  <r>
    <s v="ORD038"/>
    <d v="2024-07-05T00:00:00"/>
    <s v="Customer_38"/>
    <x v="1"/>
    <x v="2"/>
    <x v="0"/>
    <n v="1"/>
    <n v="14500"/>
    <n v="14500"/>
  </r>
  <r>
    <s v="ORD039"/>
    <d v="2024-07-10T00:00:00"/>
    <s v="Customer_39"/>
    <x v="2"/>
    <x v="3"/>
    <x v="1"/>
    <n v="4"/>
    <n v="2300"/>
    <n v="9200"/>
  </r>
  <r>
    <s v="ORD040"/>
    <d v="2024-07-15T00:00:00"/>
    <s v="Customer_40"/>
    <x v="3"/>
    <x v="4"/>
    <x v="1"/>
    <n v="2"/>
    <n v="1700"/>
    <n v="3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47ED4B-25F6-4302-A10F-EED43AB81F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6" firstHeaderRow="1" firstDataRow="1" firstDataCol="1"/>
  <pivotFields count="9">
    <pivotField showAll="0"/>
    <pivotField numFmtId="14" showAll="0"/>
    <pivotField showAll="0"/>
    <pivotField showAll="0">
      <items count="7">
        <item x="0"/>
        <item x="1"/>
        <item x="5"/>
        <item x="2"/>
        <item x="4"/>
        <item x="3"/>
        <item t="default"/>
      </items>
    </pivotField>
    <pivotField showAll="0">
      <items count="8">
        <item x="3"/>
        <item x="4"/>
        <item x="0"/>
        <item x="1"/>
        <item x="6"/>
        <item x="5"/>
        <item x="2"/>
        <item t="default"/>
      </items>
    </pivotField>
    <pivotField axis="axisRow" showAll="0">
      <items count="3">
        <item x="1"/>
        <item x="0"/>
        <item t="default"/>
      </items>
    </pivotField>
    <pivotField showAll="0"/>
    <pivotField showAll="0"/>
    <pivotField dataField="1" showAll="0"/>
  </pivotFields>
  <rowFields count="1">
    <field x="5"/>
  </rowFields>
  <rowItems count="3">
    <i>
      <x/>
    </i>
    <i>
      <x v="1"/>
    </i>
    <i t="grand">
      <x/>
    </i>
  </rowItems>
  <colItems count="1">
    <i/>
  </colItems>
  <dataFields count="1">
    <dataField name="Sum of Total_Sales"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CAE3E-A14B-4A27-BA29-BA6DB66E0F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1" firstHeaderRow="1" firstDataRow="1" firstDataCol="1"/>
  <pivotFields count="9">
    <pivotField showAll="0"/>
    <pivotField numFmtId="14" showAll="0"/>
    <pivotField showAll="0"/>
    <pivotField showAll="0">
      <items count="7">
        <item x="0"/>
        <item x="1"/>
        <item x="5"/>
        <item x="2"/>
        <item x="4"/>
        <item x="3"/>
        <item t="default"/>
      </items>
    </pivotField>
    <pivotField axis="axisRow" showAll="0">
      <items count="8">
        <item x="3"/>
        <item x="4"/>
        <item x="0"/>
        <item x="1"/>
        <item x="6"/>
        <item x="5"/>
        <item x="2"/>
        <item t="default"/>
      </items>
    </pivotField>
    <pivotField showAll="0">
      <items count="3">
        <item x="1"/>
        <item x="0"/>
        <item t="default"/>
      </items>
    </pivotField>
    <pivotField showAll="0"/>
    <pivotField showAll="0"/>
    <pivotField dataField="1" showAll="0"/>
  </pivotFields>
  <rowFields count="1">
    <field x="4"/>
  </rowFields>
  <rowItems count="8">
    <i>
      <x/>
    </i>
    <i>
      <x v="1"/>
    </i>
    <i>
      <x v="2"/>
    </i>
    <i>
      <x v="3"/>
    </i>
    <i>
      <x v="4"/>
    </i>
    <i>
      <x v="5"/>
    </i>
    <i>
      <x v="6"/>
    </i>
    <i t="grand">
      <x/>
    </i>
  </rowItems>
  <colItems count="1">
    <i/>
  </colItems>
  <dataFields count="1">
    <dataField name="Sum of Total_Sales" fld="8" baseField="0" baseItem="0"/>
  </dataFields>
  <chartFormats count="3">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BBD0DF-6775-4CC4-923A-1FD1F78D89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9">
    <pivotField showAll="0"/>
    <pivotField numFmtId="14" showAll="0"/>
    <pivotField showAll="0"/>
    <pivotField axis="axisRow" showAll="0">
      <items count="7">
        <item x="0"/>
        <item x="1"/>
        <item x="5"/>
        <item x="2"/>
        <item x="4"/>
        <item x="3"/>
        <item t="default"/>
      </items>
    </pivotField>
    <pivotField showAll="0">
      <items count="8">
        <item x="3"/>
        <item x="4"/>
        <item x="0"/>
        <item x="1"/>
        <item x="6"/>
        <item x="5"/>
        <item x="2"/>
        <item t="default"/>
      </items>
    </pivotField>
    <pivotField showAll="0">
      <items count="3">
        <item x="1"/>
        <item x="0"/>
        <item t="default"/>
      </items>
    </pivotField>
    <pivotField showAll="0"/>
    <pivotField showAll="0"/>
    <pivotField dataField="1" showAll="0"/>
  </pivotFields>
  <rowFields count="1">
    <field x="3"/>
  </rowFields>
  <rowItems count="7">
    <i>
      <x/>
    </i>
    <i>
      <x v="1"/>
    </i>
    <i>
      <x v="2"/>
    </i>
    <i>
      <x v="3"/>
    </i>
    <i>
      <x v="4"/>
    </i>
    <i>
      <x v="5"/>
    </i>
    <i t="grand">
      <x/>
    </i>
  </rowItems>
  <colItems count="1">
    <i/>
  </colItems>
  <dataFields count="1">
    <dataField name="Sum of Total_Sales" fld="8"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46483E2-3712-4BC8-897B-02E9602B4D9C}" sourceName="State">
  <pivotTables>
    <pivotTable tabId="3" name="PivotTable2"/>
    <pivotTable tabId="3" name="PivotTable3"/>
    <pivotTable tabId="3" name="PivotTable4"/>
  </pivotTables>
  <data>
    <tabular pivotCacheId="1225823642">
      <items count="6">
        <i x="0" s="1"/>
        <i x="1" s="1"/>
        <i x="5"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68974D-2766-4E0A-B3BA-57754B745DAC}" sourceName="Product">
  <pivotTables>
    <pivotTable tabId="3" name="PivotTable2"/>
    <pivotTable tabId="3" name="PivotTable3"/>
    <pivotTable tabId="3" name="PivotTable4"/>
  </pivotTables>
  <data>
    <tabular pivotCacheId="1225823642">
      <items count="7">
        <i x="3" s="1"/>
        <i x="4" s="1"/>
        <i x="0" s="1"/>
        <i x="1" s="1"/>
        <i x="6"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23E148-1BEE-41E6-BBC0-2B0AB5EC6EB3}" sourceName="Category">
  <pivotTables>
    <pivotTable tabId="3" name="PivotTable2"/>
    <pivotTable tabId="3" name="PivotTable3"/>
    <pivotTable tabId="3" name="PivotTable4"/>
  </pivotTables>
  <data>
    <tabular pivotCacheId="12258236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F80D0C1-0322-437D-BAB5-3AEB5C542CAA}" cache="Slicer_State" caption="State" style="SlicerStyleDark6" rowHeight="144000"/>
  <slicer name="Product" xr10:uid="{B56F37C0-A348-4316-8CFE-1550479BE077}" cache="Slicer_Product" caption="Product" style="SlicerStyleDark6" rowHeight="216000"/>
  <slicer name="Category" xr10:uid="{8B96B09F-74E9-4171-B43B-DED07E5FFDDA}" cache="Slicer_Category" caption="Category" style="SlicerStyleDark6"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600C29-77FD-414C-A9A8-8A19991D1FDB}" name="Table2" displayName="Table2" ref="A1:I41" totalsRowShown="0" headerRowDxfId="1">
  <tableColumns count="9">
    <tableColumn id="1" xr3:uid="{D7975B4B-006D-418E-B06A-AD1446BA5F18}" name="Order_ID"/>
    <tableColumn id="2" xr3:uid="{F65D68B3-D087-4678-B081-12CC7F81BB75}" name="Order_Date" dataDxfId="0"/>
    <tableColumn id="3" xr3:uid="{9D9660F3-0CF8-4CA0-91B9-4EE9D4406076}" name="Customer_Name"/>
    <tableColumn id="4" xr3:uid="{CEABD6F3-28F8-40AF-9294-9AD9B6DD50F6}" name="State"/>
    <tableColumn id="5" xr3:uid="{332E49FA-5BE4-44A2-9884-C5B5B0E44A0F}" name="Product"/>
    <tableColumn id="6" xr3:uid="{D802B768-407A-4577-AF7B-E21F2CE5F5EA}" name="Category"/>
    <tableColumn id="7" xr3:uid="{9AC71464-7976-4859-933D-6846DCD9F9FA}" name="Quantity"/>
    <tableColumn id="8" xr3:uid="{248055DA-60DA-4137-B0DE-62AC4C071264}" name="Unit_Price"/>
    <tableColumn id="9" xr3:uid="{320363D9-9A4D-4BB8-AAC0-0DF51F071E20}" name="Total_Sales">
      <calculatedColumnFormula>H2*G2</calculatedColumnFormula>
    </tableColumn>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4797-4E24-46A0-817E-999C20DC4F49}">
  <dimension ref="A1:I41"/>
  <sheetViews>
    <sheetView zoomScale="145" zoomScaleNormal="78" workbookViewId="0">
      <selection activeCell="F1" sqref="F1"/>
    </sheetView>
  </sheetViews>
  <sheetFormatPr defaultRowHeight="15" x14ac:dyDescent="0.25"/>
  <cols>
    <col min="1" max="1" width="10.42578125" customWidth="1"/>
    <col min="2" max="2" width="16" customWidth="1"/>
    <col min="3" max="3" width="16.5703125" customWidth="1"/>
    <col min="4" max="4" width="16.140625" customWidth="1"/>
    <col min="5" max="5" width="15.140625" customWidth="1"/>
    <col min="6" max="6" width="11.28515625" bestFit="1" customWidth="1"/>
    <col min="7" max="7" width="9.7109375" customWidth="1"/>
    <col min="8" max="8" width="14.85546875" customWidth="1"/>
    <col min="9" max="9" width="13.28515625" customWidth="1"/>
    <col min="11" max="11" width="13.140625" bestFit="1" customWidth="1"/>
    <col min="12" max="12" width="17.85546875" bestFit="1" customWidth="1"/>
  </cols>
  <sheetData>
    <row r="1" spans="1:9" x14ac:dyDescent="0.25">
      <c r="A1" s="4" t="s">
        <v>0</v>
      </c>
      <c r="B1" s="4" t="s">
        <v>1</v>
      </c>
      <c r="C1" s="4" t="s">
        <v>2</v>
      </c>
      <c r="D1" s="4" t="s">
        <v>3</v>
      </c>
      <c r="E1" s="4" t="s">
        <v>4</v>
      </c>
      <c r="F1" s="4" t="s">
        <v>5</v>
      </c>
      <c r="G1" s="4" t="s">
        <v>6</v>
      </c>
      <c r="H1" s="4" t="s">
        <v>7</v>
      </c>
      <c r="I1" s="4" t="s">
        <v>8</v>
      </c>
    </row>
    <row r="2" spans="1:9" x14ac:dyDescent="0.25">
      <c r="A2" t="s">
        <v>9</v>
      </c>
      <c r="B2" s="1">
        <v>45296</v>
      </c>
      <c r="C2" t="s">
        <v>10</v>
      </c>
      <c r="D2" t="s">
        <v>11</v>
      </c>
      <c r="E2" t="s">
        <v>12</v>
      </c>
      <c r="F2" t="s">
        <v>13</v>
      </c>
      <c r="G2">
        <v>2</v>
      </c>
      <c r="H2">
        <v>55000</v>
      </c>
      <c r="I2">
        <f>H2*G2</f>
        <v>110000</v>
      </c>
    </row>
    <row r="3" spans="1:9" x14ac:dyDescent="0.25">
      <c r="A3" t="s">
        <v>14</v>
      </c>
      <c r="B3" s="1">
        <v>45301</v>
      </c>
      <c r="C3" t="s">
        <v>15</v>
      </c>
      <c r="D3" t="s">
        <v>16</v>
      </c>
      <c r="E3" t="s">
        <v>17</v>
      </c>
      <c r="F3" t="s">
        <v>13</v>
      </c>
      <c r="G3">
        <v>3</v>
      </c>
      <c r="H3">
        <v>20000</v>
      </c>
      <c r="I3">
        <f t="shared" ref="I3:I41" si="0">H3*G3</f>
        <v>60000</v>
      </c>
    </row>
    <row r="4" spans="1:9" x14ac:dyDescent="0.25">
      <c r="A4" t="s">
        <v>18</v>
      </c>
      <c r="B4" s="1">
        <v>45306</v>
      </c>
      <c r="C4" t="s">
        <v>19</v>
      </c>
      <c r="D4" t="s">
        <v>20</v>
      </c>
      <c r="E4" t="s">
        <v>21</v>
      </c>
      <c r="F4" t="s">
        <v>13</v>
      </c>
      <c r="G4">
        <v>1</v>
      </c>
      <c r="H4">
        <v>15000</v>
      </c>
      <c r="I4">
        <f t="shared" si="0"/>
        <v>15000</v>
      </c>
    </row>
    <row r="5" spans="1:9" x14ac:dyDescent="0.25">
      <c r="A5" t="s">
        <v>22</v>
      </c>
      <c r="B5" s="1">
        <v>45309</v>
      </c>
      <c r="C5" t="s">
        <v>23</v>
      </c>
      <c r="D5" t="s">
        <v>24</v>
      </c>
      <c r="E5" t="s">
        <v>25</v>
      </c>
      <c r="F5" t="s">
        <v>26</v>
      </c>
      <c r="G5">
        <v>4</v>
      </c>
      <c r="H5">
        <v>2000</v>
      </c>
      <c r="I5">
        <f t="shared" si="0"/>
        <v>8000</v>
      </c>
    </row>
    <row r="6" spans="1:9" x14ac:dyDescent="0.25">
      <c r="A6" t="s">
        <v>27</v>
      </c>
      <c r="B6" s="1">
        <v>45313</v>
      </c>
      <c r="C6" t="s">
        <v>28</v>
      </c>
      <c r="D6" t="s">
        <v>29</v>
      </c>
      <c r="E6" t="s">
        <v>30</v>
      </c>
      <c r="F6" t="s">
        <v>26</v>
      </c>
      <c r="G6">
        <v>2</v>
      </c>
      <c r="H6">
        <v>1500</v>
      </c>
      <c r="I6">
        <f t="shared" si="0"/>
        <v>3000</v>
      </c>
    </row>
    <row r="7" spans="1:9" x14ac:dyDescent="0.25">
      <c r="A7" t="s">
        <v>31</v>
      </c>
      <c r="B7" s="1">
        <v>45316</v>
      </c>
      <c r="C7" t="s">
        <v>32</v>
      </c>
      <c r="D7" t="s">
        <v>33</v>
      </c>
      <c r="E7" t="s">
        <v>34</v>
      </c>
      <c r="F7" t="s">
        <v>26</v>
      </c>
      <c r="G7">
        <v>5</v>
      </c>
      <c r="H7">
        <v>800</v>
      </c>
      <c r="I7">
        <f t="shared" si="0"/>
        <v>4000</v>
      </c>
    </row>
    <row r="8" spans="1:9" x14ac:dyDescent="0.25">
      <c r="A8" t="s">
        <v>35</v>
      </c>
      <c r="B8" s="1">
        <v>45324</v>
      </c>
      <c r="C8" t="s">
        <v>36</v>
      </c>
      <c r="D8" t="s">
        <v>11</v>
      </c>
      <c r="E8" t="s">
        <v>37</v>
      </c>
      <c r="F8" t="s">
        <v>13</v>
      </c>
      <c r="G8">
        <v>1</v>
      </c>
      <c r="H8">
        <v>12000</v>
      </c>
      <c r="I8">
        <f t="shared" si="0"/>
        <v>12000</v>
      </c>
    </row>
    <row r="9" spans="1:9" x14ac:dyDescent="0.25">
      <c r="A9" t="s">
        <v>38</v>
      </c>
      <c r="B9" s="1">
        <v>45327</v>
      </c>
      <c r="C9" t="s">
        <v>39</v>
      </c>
      <c r="D9" t="s">
        <v>16</v>
      </c>
      <c r="E9" t="s">
        <v>12</v>
      </c>
      <c r="F9" t="s">
        <v>13</v>
      </c>
      <c r="G9">
        <v>1</v>
      </c>
      <c r="H9">
        <v>60000</v>
      </c>
      <c r="I9">
        <f t="shared" si="0"/>
        <v>60000</v>
      </c>
    </row>
    <row r="10" spans="1:9" x14ac:dyDescent="0.25">
      <c r="A10" t="s">
        <v>40</v>
      </c>
      <c r="B10" s="1">
        <v>45332</v>
      </c>
      <c r="C10" t="s">
        <v>41</v>
      </c>
      <c r="D10" t="s">
        <v>20</v>
      </c>
      <c r="E10" t="s">
        <v>17</v>
      </c>
      <c r="F10" t="s">
        <v>13</v>
      </c>
      <c r="G10">
        <v>2</v>
      </c>
      <c r="H10">
        <v>18000</v>
      </c>
      <c r="I10">
        <f t="shared" si="0"/>
        <v>36000</v>
      </c>
    </row>
    <row r="11" spans="1:9" x14ac:dyDescent="0.25">
      <c r="A11" t="s">
        <v>42</v>
      </c>
      <c r="B11" s="1">
        <v>45336</v>
      </c>
      <c r="C11" t="s">
        <v>43</v>
      </c>
      <c r="D11" t="s">
        <v>24</v>
      </c>
      <c r="E11" t="s">
        <v>21</v>
      </c>
      <c r="F11" t="s">
        <v>13</v>
      </c>
      <c r="G11">
        <v>3</v>
      </c>
      <c r="H11">
        <v>14000</v>
      </c>
      <c r="I11">
        <f t="shared" si="0"/>
        <v>42000</v>
      </c>
    </row>
    <row r="12" spans="1:9" x14ac:dyDescent="0.25">
      <c r="A12" t="s">
        <v>44</v>
      </c>
      <c r="B12" s="1">
        <v>45340</v>
      </c>
      <c r="C12" t="s">
        <v>45</v>
      </c>
      <c r="D12" t="s">
        <v>29</v>
      </c>
      <c r="E12" t="s">
        <v>25</v>
      </c>
      <c r="F12" t="s">
        <v>26</v>
      </c>
      <c r="G12">
        <v>2</v>
      </c>
      <c r="H12">
        <v>2500</v>
      </c>
      <c r="I12">
        <f t="shared" si="0"/>
        <v>5000</v>
      </c>
    </row>
    <row r="13" spans="1:9" x14ac:dyDescent="0.25">
      <c r="A13" t="s">
        <v>46</v>
      </c>
      <c r="B13" s="1">
        <v>45344</v>
      </c>
      <c r="C13" t="s">
        <v>47</v>
      </c>
      <c r="D13" t="s">
        <v>33</v>
      </c>
      <c r="E13" t="s">
        <v>30</v>
      </c>
      <c r="F13" t="s">
        <v>26</v>
      </c>
      <c r="G13">
        <v>3</v>
      </c>
      <c r="H13">
        <v>1200</v>
      </c>
      <c r="I13">
        <f t="shared" si="0"/>
        <v>3600</v>
      </c>
    </row>
    <row r="14" spans="1:9" x14ac:dyDescent="0.25">
      <c r="A14" t="s">
        <v>48</v>
      </c>
      <c r="B14" s="1">
        <v>45352</v>
      </c>
      <c r="C14" t="s">
        <v>49</v>
      </c>
      <c r="D14" t="s">
        <v>11</v>
      </c>
      <c r="E14" t="s">
        <v>34</v>
      </c>
      <c r="F14" t="s">
        <v>26</v>
      </c>
      <c r="G14">
        <v>4</v>
      </c>
      <c r="H14">
        <v>700</v>
      </c>
      <c r="I14">
        <f t="shared" si="0"/>
        <v>2800</v>
      </c>
    </row>
    <row r="15" spans="1:9" x14ac:dyDescent="0.25">
      <c r="A15" t="s">
        <v>50</v>
      </c>
      <c r="B15" s="1">
        <v>45356</v>
      </c>
      <c r="C15" t="s">
        <v>51</v>
      </c>
      <c r="D15" t="s">
        <v>16</v>
      </c>
      <c r="E15" t="s">
        <v>37</v>
      </c>
      <c r="F15" t="s">
        <v>13</v>
      </c>
      <c r="G15">
        <v>2</v>
      </c>
      <c r="H15">
        <v>10000</v>
      </c>
      <c r="I15">
        <f t="shared" si="0"/>
        <v>20000</v>
      </c>
    </row>
    <row r="16" spans="1:9" x14ac:dyDescent="0.25">
      <c r="A16" t="s">
        <v>52</v>
      </c>
      <c r="B16" s="1">
        <v>45361</v>
      </c>
      <c r="C16" t="s">
        <v>53</v>
      </c>
      <c r="D16" t="s">
        <v>20</v>
      </c>
      <c r="E16" t="s">
        <v>12</v>
      </c>
      <c r="F16" t="s">
        <v>13</v>
      </c>
      <c r="G16">
        <v>1</v>
      </c>
      <c r="H16">
        <v>58000</v>
      </c>
      <c r="I16">
        <f t="shared" si="0"/>
        <v>58000</v>
      </c>
    </row>
    <row r="17" spans="1:9" x14ac:dyDescent="0.25">
      <c r="A17" t="s">
        <v>54</v>
      </c>
      <c r="B17" s="1">
        <v>45366</v>
      </c>
      <c r="C17" t="s">
        <v>55</v>
      </c>
      <c r="D17" t="s">
        <v>24</v>
      </c>
      <c r="E17" t="s">
        <v>17</v>
      </c>
      <c r="F17" t="s">
        <v>13</v>
      </c>
      <c r="G17">
        <v>5</v>
      </c>
      <c r="H17">
        <v>15000</v>
      </c>
      <c r="I17">
        <f t="shared" si="0"/>
        <v>75000</v>
      </c>
    </row>
    <row r="18" spans="1:9" x14ac:dyDescent="0.25">
      <c r="A18" t="s">
        <v>56</v>
      </c>
      <c r="B18" s="1">
        <v>45371</v>
      </c>
      <c r="C18" t="s">
        <v>57</v>
      </c>
      <c r="D18" t="s">
        <v>29</v>
      </c>
      <c r="E18" t="s">
        <v>21</v>
      </c>
      <c r="F18" t="s">
        <v>13</v>
      </c>
      <c r="G18">
        <v>2</v>
      </c>
      <c r="H18">
        <v>13000</v>
      </c>
      <c r="I18">
        <f t="shared" si="0"/>
        <v>26000</v>
      </c>
    </row>
    <row r="19" spans="1:9" x14ac:dyDescent="0.25">
      <c r="A19" t="s">
        <v>58</v>
      </c>
      <c r="B19" s="1">
        <v>45376</v>
      </c>
      <c r="C19" t="s">
        <v>59</v>
      </c>
      <c r="D19" t="s">
        <v>33</v>
      </c>
      <c r="E19" t="s">
        <v>25</v>
      </c>
      <c r="F19" t="s">
        <v>26</v>
      </c>
      <c r="G19">
        <v>3</v>
      </c>
      <c r="H19">
        <v>2200</v>
      </c>
      <c r="I19">
        <f t="shared" si="0"/>
        <v>6600</v>
      </c>
    </row>
    <row r="20" spans="1:9" x14ac:dyDescent="0.25">
      <c r="A20" t="s">
        <v>60</v>
      </c>
      <c r="B20" s="1">
        <v>45383</v>
      </c>
      <c r="C20" t="s">
        <v>61</v>
      </c>
      <c r="D20" t="s">
        <v>11</v>
      </c>
      <c r="E20" t="s">
        <v>30</v>
      </c>
      <c r="F20" t="s">
        <v>26</v>
      </c>
      <c r="G20">
        <v>1</v>
      </c>
      <c r="H20">
        <v>1400</v>
      </c>
      <c r="I20">
        <f t="shared" si="0"/>
        <v>1400</v>
      </c>
    </row>
    <row r="21" spans="1:9" x14ac:dyDescent="0.25">
      <c r="A21" t="s">
        <v>62</v>
      </c>
      <c r="B21" s="1">
        <v>45387</v>
      </c>
      <c r="C21" t="s">
        <v>63</v>
      </c>
      <c r="D21" t="s">
        <v>16</v>
      </c>
      <c r="E21" t="s">
        <v>34</v>
      </c>
      <c r="F21" t="s">
        <v>26</v>
      </c>
      <c r="G21">
        <v>2</v>
      </c>
      <c r="H21">
        <v>900</v>
      </c>
      <c r="I21">
        <f t="shared" si="0"/>
        <v>1800</v>
      </c>
    </row>
    <row r="22" spans="1:9" x14ac:dyDescent="0.25">
      <c r="A22" t="s">
        <v>64</v>
      </c>
      <c r="B22" s="1">
        <v>45392</v>
      </c>
      <c r="C22" t="s">
        <v>65</v>
      </c>
      <c r="D22" t="s">
        <v>20</v>
      </c>
      <c r="E22" t="s">
        <v>37</v>
      </c>
      <c r="F22" t="s">
        <v>13</v>
      </c>
      <c r="G22">
        <v>1</v>
      </c>
      <c r="H22">
        <v>11000</v>
      </c>
      <c r="I22">
        <f t="shared" si="0"/>
        <v>11000</v>
      </c>
    </row>
    <row r="23" spans="1:9" x14ac:dyDescent="0.25">
      <c r="A23" t="s">
        <v>66</v>
      </c>
      <c r="B23" s="1">
        <v>45397</v>
      </c>
      <c r="C23" t="s">
        <v>67</v>
      </c>
      <c r="D23" t="s">
        <v>24</v>
      </c>
      <c r="E23" t="s">
        <v>12</v>
      </c>
      <c r="F23" t="s">
        <v>13</v>
      </c>
      <c r="G23">
        <v>2</v>
      </c>
      <c r="H23">
        <v>57000</v>
      </c>
      <c r="I23">
        <f t="shared" si="0"/>
        <v>114000</v>
      </c>
    </row>
    <row r="24" spans="1:9" x14ac:dyDescent="0.25">
      <c r="A24" t="s">
        <v>68</v>
      </c>
      <c r="B24" s="1">
        <v>45400</v>
      </c>
      <c r="C24" t="s">
        <v>69</v>
      </c>
      <c r="D24" t="s">
        <v>29</v>
      </c>
      <c r="E24" t="s">
        <v>17</v>
      </c>
      <c r="F24" t="s">
        <v>13</v>
      </c>
      <c r="G24">
        <v>3</v>
      </c>
      <c r="H24">
        <v>21000</v>
      </c>
      <c r="I24">
        <f t="shared" si="0"/>
        <v>63000</v>
      </c>
    </row>
    <row r="25" spans="1:9" x14ac:dyDescent="0.25">
      <c r="A25" t="s">
        <v>70</v>
      </c>
      <c r="B25" s="1">
        <v>45404</v>
      </c>
      <c r="C25" t="s">
        <v>71</v>
      </c>
      <c r="D25" t="s">
        <v>33</v>
      </c>
      <c r="E25" t="s">
        <v>21</v>
      </c>
      <c r="F25" t="s">
        <v>13</v>
      </c>
      <c r="G25">
        <v>1</v>
      </c>
      <c r="H25">
        <v>16000</v>
      </c>
      <c r="I25">
        <f t="shared" si="0"/>
        <v>16000</v>
      </c>
    </row>
    <row r="26" spans="1:9" x14ac:dyDescent="0.25">
      <c r="A26" t="s">
        <v>72</v>
      </c>
      <c r="B26" s="1">
        <v>45413</v>
      </c>
      <c r="C26" t="s">
        <v>73</v>
      </c>
      <c r="D26" t="s">
        <v>11</v>
      </c>
      <c r="E26" t="s">
        <v>25</v>
      </c>
      <c r="F26" t="s">
        <v>26</v>
      </c>
      <c r="G26">
        <v>5</v>
      </c>
      <c r="H26">
        <v>1800</v>
      </c>
      <c r="I26">
        <f t="shared" si="0"/>
        <v>9000</v>
      </c>
    </row>
    <row r="27" spans="1:9" x14ac:dyDescent="0.25">
      <c r="A27" t="s">
        <v>74</v>
      </c>
      <c r="B27" s="1">
        <v>45417</v>
      </c>
      <c r="C27" t="s">
        <v>75</v>
      </c>
      <c r="D27" t="s">
        <v>16</v>
      </c>
      <c r="E27" t="s">
        <v>30</v>
      </c>
      <c r="F27" t="s">
        <v>26</v>
      </c>
      <c r="G27">
        <v>2</v>
      </c>
      <c r="H27">
        <v>1300</v>
      </c>
      <c r="I27">
        <f t="shared" si="0"/>
        <v>2600</v>
      </c>
    </row>
    <row r="28" spans="1:9" x14ac:dyDescent="0.25">
      <c r="A28" t="s">
        <v>76</v>
      </c>
      <c r="B28" s="1">
        <v>45422</v>
      </c>
      <c r="C28" t="s">
        <v>77</v>
      </c>
      <c r="D28" t="s">
        <v>20</v>
      </c>
      <c r="E28" t="s">
        <v>34</v>
      </c>
      <c r="F28" t="s">
        <v>26</v>
      </c>
      <c r="G28">
        <v>3</v>
      </c>
      <c r="H28">
        <v>850</v>
      </c>
      <c r="I28">
        <f t="shared" si="0"/>
        <v>2550</v>
      </c>
    </row>
    <row r="29" spans="1:9" x14ac:dyDescent="0.25">
      <c r="A29" t="s">
        <v>78</v>
      </c>
      <c r="B29" s="1">
        <v>45427</v>
      </c>
      <c r="C29" t="s">
        <v>79</v>
      </c>
      <c r="D29" t="s">
        <v>24</v>
      </c>
      <c r="E29" t="s">
        <v>37</v>
      </c>
      <c r="F29" t="s">
        <v>13</v>
      </c>
      <c r="G29">
        <v>2</v>
      </c>
      <c r="H29">
        <v>12500</v>
      </c>
      <c r="I29">
        <f t="shared" si="0"/>
        <v>25000</v>
      </c>
    </row>
    <row r="30" spans="1:9" x14ac:dyDescent="0.25">
      <c r="A30" t="s">
        <v>80</v>
      </c>
      <c r="B30" s="1">
        <v>45432</v>
      </c>
      <c r="C30" t="s">
        <v>81</v>
      </c>
      <c r="D30" t="s">
        <v>29</v>
      </c>
      <c r="E30" t="s">
        <v>12</v>
      </c>
      <c r="F30" t="s">
        <v>13</v>
      </c>
      <c r="G30">
        <v>1</v>
      </c>
      <c r="H30">
        <v>62000</v>
      </c>
      <c r="I30">
        <f t="shared" si="0"/>
        <v>62000</v>
      </c>
    </row>
    <row r="31" spans="1:9" x14ac:dyDescent="0.25">
      <c r="A31" t="s">
        <v>82</v>
      </c>
      <c r="B31" s="1">
        <v>45437</v>
      </c>
      <c r="C31" t="s">
        <v>83</v>
      </c>
      <c r="D31" t="s">
        <v>33</v>
      </c>
      <c r="E31" t="s">
        <v>17</v>
      </c>
      <c r="F31" t="s">
        <v>13</v>
      </c>
      <c r="G31">
        <v>4</v>
      </c>
      <c r="H31">
        <v>17000</v>
      </c>
      <c r="I31">
        <f t="shared" si="0"/>
        <v>68000</v>
      </c>
    </row>
    <row r="32" spans="1:9" x14ac:dyDescent="0.25">
      <c r="A32" t="s">
        <v>84</v>
      </c>
      <c r="B32" s="1">
        <v>45444</v>
      </c>
      <c r="C32" t="s">
        <v>85</v>
      </c>
      <c r="D32" t="s">
        <v>11</v>
      </c>
      <c r="E32" t="s">
        <v>21</v>
      </c>
      <c r="F32" t="s">
        <v>13</v>
      </c>
      <c r="G32">
        <v>2</v>
      </c>
      <c r="H32">
        <v>15500</v>
      </c>
      <c r="I32">
        <f t="shared" si="0"/>
        <v>31000</v>
      </c>
    </row>
    <row r="33" spans="1:9" x14ac:dyDescent="0.25">
      <c r="A33" t="s">
        <v>86</v>
      </c>
      <c r="B33" s="1">
        <v>45448</v>
      </c>
      <c r="C33" t="s">
        <v>87</v>
      </c>
      <c r="D33" t="s">
        <v>16</v>
      </c>
      <c r="E33" t="s">
        <v>25</v>
      </c>
      <c r="F33" t="s">
        <v>26</v>
      </c>
      <c r="G33">
        <v>3</v>
      </c>
      <c r="H33">
        <v>2100</v>
      </c>
      <c r="I33">
        <f t="shared" si="0"/>
        <v>6300</v>
      </c>
    </row>
    <row r="34" spans="1:9" x14ac:dyDescent="0.25">
      <c r="A34" t="s">
        <v>88</v>
      </c>
      <c r="B34" s="1">
        <v>45453</v>
      </c>
      <c r="C34" t="s">
        <v>89</v>
      </c>
      <c r="D34" t="s">
        <v>20</v>
      </c>
      <c r="E34" t="s">
        <v>30</v>
      </c>
      <c r="F34" t="s">
        <v>26</v>
      </c>
      <c r="G34">
        <v>2</v>
      </c>
      <c r="H34">
        <v>1600</v>
      </c>
      <c r="I34">
        <f t="shared" si="0"/>
        <v>3200</v>
      </c>
    </row>
    <row r="35" spans="1:9" x14ac:dyDescent="0.25">
      <c r="A35" t="s">
        <v>90</v>
      </c>
      <c r="B35" s="1">
        <v>45458</v>
      </c>
      <c r="C35" t="s">
        <v>91</v>
      </c>
      <c r="D35" t="s">
        <v>24</v>
      </c>
      <c r="E35" t="s">
        <v>34</v>
      </c>
      <c r="F35" t="s">
        <v>26</v>
      </c>
      <c r="G35">
        <v>5</v>
      </c>
      <c r="H35">
        <v>750</v>
      </c>
      <c r="I35">
        <f t="shared" si="0"/>
        <v>3750</v>
      </c>
    </row>
    <row r="36" spans="1:9" x14ac:dyDescent="0.25">
      <c r="A36" t="s">
        <v>92</v>
      </c>
      <c r="B36" s="1">
        <v>45463</v>
      </c>
      <c r="C36" t="s">
        <v>93</v>
      </c>
      <c r="D36" t="s">
        <v>29</v>
      </c>
      <c r="E36" t="s">
        <v>37</v>
      </c>
      <c r="F36" t="s">
        <v>13</v>
      </c>
      <c r="G36">
        <v>1</v>
      </c>
      <c r="H36">
        <v>13500</v>
      </c>
      <c r="I36">
        <f t="shared" si="0"/>
        <v>13500</v>
      </c>
    </row>
    <row r="37" spans="1:9" x14ac:dyDescent="0.25">
      <c r="A37" t="s">
        <v>94</v>
      </c>
      <c r="B37" s="1">
        <v>45468</v>
      </c>
      <c r="C37" t="s">
        <v>95</v>
      </c>
      <c r="D37" t="s">
        <v>33</v>
      </c>
      <c r="E37" t="s">
        <v>12</v>
      </c>
      <c r="F37" t="s">
        <v>13</v>
      </c>
      <c r="G37">
        <v>2</v>
      </c>
      <c r="H37">
        <v>59000</v>
      </c>
      <c r="I37">
        <f t="shared" si="0"/>
        <v>118000</v>
      </c>
    </row>
    <row r="38" spans="1:9" x14ac:dyDescent="0.25">
      <c r="A38" t="s">
        <v>96</v>
      </c>
      <c r="B38" s="1">
        <v>45474</v>
      </c>
      <c r="C38" t="s">
        <v>97</v>
      </c>
      <c r="D38" t="s">
        <v>11</v>
      </c>
      <c r="E38" t="s">
        <v>17</v>
      </c>
      <c r="F38" t="s">
        <v>13</v>
      </c>
      <c r="G38">
        <v>3</v>
      </c>
      <c r="H38">
        <v>22000</v>
      </c>
      <c r="I38">
        <f t="shared" si="0"/>
        <v>66000</v>
      </c>
    </row>
    <row r="39" spans="1:9" x14ac:dyDescent="0.25">
      <c r="A39" t="s">
        <v>98</v>
      </c>
      <c r="B39" s="1">
        <v>45478</v>
      </c>
      <c r="C39" t="s">
        <v>99</v>
      </c>
      <c r="D39" t="s">
        <v>16</v>
      </c>
      <c r="E39" t="s">
        <v>21</v>
      </c>
      <c r="F39" t="s">
        <v>13</v>
      </c>
      <c r="G39">
        <v>1</v>
      </c>
      <c r="H39">
        <v>14500</v>
      </c>
      <c r="I39">
        <f t="shared" si="0"/>
        <v>14500</v>
      </c>
    </row>
    <row r="40" spans="1:9" x14ac:dyDescent="0.25">
      <c r="A40" t="s">
        <v>100</v>
      </c>
      <c r="B40" s="1">
        <v>45483</v>
      </c>
      <c r="C40" t="s">
        <v>101</v>
      </c>
      <c r="D40" t="s">
        <v>20</v>
      </c>
      <c r="E40" t="s">
        <v>25</v>
      </c>
      <c r="F40" t="s">
        <v>26</v>
      </c>
      <c r="G40">
        <v>4</v>
      </c>
      <c r="H40">
        <v>2300</v>
      </c>
      <c r="I40">
        <f t="shared" si="0"/>
        <v>9200</v>
      </c>
    </row>
    <row r="41" spans="1:9" x14ac:dyDescent="0.25">
      <c r="A41" t="s">
        <v>102</v>
      </c>
      <c r="B41" s="1">
        <v>45488</v>
      </c>
      <c r="C41" t="s">
        <v>103</v>
      </c>
      <c r="D41" t="s">
        <v>24</v>
      </c>
      <c r="E41" t="s">
        <v>30</v>
      </c>
      <c r="F41" t="s">
        <v>26</v>
      </c>
      <c r="G41">
        <v>2</v>
      </c>
      <c r="H41">
        <v>1700</v>
      </c>
      <c r="I41">
        <f t="shared" si="0"/>
        <v>3400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EF2E-6A37-46A4-8F44-EFB6CCD4266C}">
  <dimension ref="A1:H11"/>
  <sheetViews>
    <sheetView tabSelected="1" zoomScale="156" workbookViewId="0">
      <selection sqref="A1:B2"/>
    </sheetView>
  </sheetViews>
  <sheetFormatPr defaultRowHeight="15" x14ac:dyDescent="0.25"/>
  <cols>
    <col min="1" max="1" width="13.140625" bestFit="1" customWidth="1"/>
    <col min="2" max="2" width="17.85546875" bestFit="1" customWidth="1"/>
    <col min="4" max="4" width="13.140625" bestFit="1" customWidth="1"/>
    <col min="5" max="5" width="17.85546875" bestFit="1" customWidth="1"/>
    <col min="7" max="7" width="13.140625" bestFit="1" customWidth="1"/>
    <col min="8" max="8" width="17.85546875" bestFit="1" customWidth="1"/>
  </cols>
  <sheetData>
    <row r="1" spans="1:8" ht="24.75" customHeight="1" x14ac:dyDescent="0.25">
      <c r="A1" s="8" t="s">
        <v>107</v>
      </c>
      <c r="B1" s="9"/>
      <c r="D1" s="8" t="s">
        <v>108</v>
      </c>
      <c r="E1" s="10"/>
      <c r="G1" s="8" t="s">
        <v>109</v>
      </c>
      <c r="H1" s="9"/>
    </row>
    <row r="2" spans="1:8" ht="28.5" customHeight="1" x14ac:dyDescent="0.25">
      <c r="A2" s="9"/>
      <c r="B2" s="9"/>
      <c r="D2" s="10"/>
      <c r="E2" s="10"/>
      <c r="G2" s="9"/>
      <c r="H2" s="9"/>
    </row>
    <row r="3" spans="1:8" x14ac:dyDescent="0.25">
      <c r="A3" s="2" t="s">
        <v>104</v>
      </c>
      <c r="B3" t="s">
        <v>106</v>
      </c>
      <c r="D3" s="2" t="s">
        <v>104</v>
      </c>
      <c r="E3" t="s">
        <v>106</v>
      </c>
      <c r="G3" s="2" t="s">
        <v>104</v>
      </c>
      <c r="H3" t="s">
        <v>106</v>
      </c>
    </row>
    <row r="4" spans="1:8" x14ac:dyDescent="0.25">
      <c r="A4" s="3" t="s">
        <v>11</v>
      </c>
      <c r="B4">
        <v>232200</v>
      </c>
      <c r="D4" s="3" t="s">
        <v>25</v>
      </c>
      <c r="E4">
        <v>44100</v>
      </c>
      <c r="G4" s="3" t="s">
        <v>26</v>
      </c>
      <c r="H4">
        <v>76200</v>
      </c>
    </row>
    <row r="5" spans="1:8" x14ac:dyDescent="0.25">
      <c r="A5" s="3" t="s">
        <v>16</v>
      </c>
      <c r="B5">
        <v>165200</v>
      </c>
      <c r="D5" s="3" t="s">
        <v>30</v>
      </c>
      <c r="E5">
        <v>17200</v>
      </c>
      <c r="G5" s="3" t="s">
        <v>13</v>
      </c>
      <c r="H5">
        <v>1116000</v>
      </c>
    </row>
    <row r="6" spans="1:8" x14ac:dyDescent="0.25">
      <c r="A6" s="3" t="s">
        <v>33</v>
      </c>
      <c r="B6">
        <v>216200</v>
      </c>
      <c r="D6" s="3" t="s">
        <v>12</v>
      </c>
      <c r="E6">
        <v>522000</v>
      </c>
      <c r="G6" s="3" t="s">
        <v>105</v>
      </c>
      <c r="H6">
        <v>1192200</v>
      </c>
    </row>
    <row r="7" spans="1:8" x14ac:dyDescent="0.25">
      <c r="A7" s="3" t="s">
        <v>20</v>
      </c>
      <c r="B7">
        <v>134950</v>
      </c>
      <c r="D7" s="3" t="s">
        <v>17</v>
      </c>
      <c r="E7">
        <v>368000</v>
      </c>
    </row>
    <row r="8" spans="1:8" x14ac:dyDescent="0.25">
      <c r="A8" s="3" t="s">
        <v>29</v>
      </c>
      <c r="B8">
        <v>172500</v>
      </c>
      <c r="D8" s="3" t="s">
        <v>37</v>
      </c>
      <c r="E8">
        <v>81500</v>
      </c>
    </row>
    <row r="9" spans="1:8" x14ac:dyDescent="0.25">
      <c r="A9" s="3" t="s">
        <v>24</v>
      </c>
      <c r="B9">
        <v>271150</v>
      </c>
      <c r="D9" s="3" t="s">
        <v>34</v>
      </c>
      <c r="E9">
        <v>14900</v>
      </c>
    </row>
    <row r="10" spans="1:8" x14ac:dyDescent="0.25">
      <c r="A10" s="3" t="s">
        <v>105</v>
      </c>
      <c r="B10">
        <v>1192200</v>
      </c>
      <c r="D10" s="3" t="s">
        <v>21</v>
      </c>
      <c r="E10">
        <v>144500</v>
      </c>
    </row>
    <row r="11" spans="1:8" x14ac:dyDescent="0.25">
      <c r="D11" s="3" t="s">
        <v>105</v>
      </c>
      <c r="E11">
        <v>1192200</v>
      </c>
    </row>
  </sheetData>
  <mergeCells count="3">
    <mergeCell ref="A1:B2"/>
    <mergeCell ref="D1:E2"/>
    <mergeCell ref="G1: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80D92-CAAB-4318-9219-A42F79E11EC7}">
  <dimension ref="A1:U31"/>
  <sheetViews>
    <sheetView showGridLines="0" zoomScaleNormal="100" workbookViewId="0">
      <selection activeCell="R31" sqref="R31"/>
    </sheetView>
  </sheetViews>
  <sheetFormatPr defaultRowHeight="15" x14ac:dyDescent="0.25"/>
  <cols>
    <col min="7" max="7" width="10.140625" customWidth="1"/>
    <col min="8" max="8" width="10.7109375" customWidth="1"/>
  </cols>
  <sheetData>
    <row r="1" spans="1:20" ht="15" customHeight="1" thickTop="1" thickBot="1" x14ac:dyDescent="0.3">
      <c r="A1" s="6" t="s">
        <v>110</v>
      </c>
      <c r="B1" s="7"/>
      <c r="C1" s="7"/>
      <c r="D1" s="7"/>
      <c r="E1" s="7"/>
      <c r="F1" s="7"/>
      <c r="G1" s="15" t="s">
        <v>115</v>
      </c>
      <c r="H1" s="15"/>
      <c r="I1" s="16" t="s">
        <v>116</v>
      </c>
      <c r="J1" s="17"/>
      <c r="K1" s="16" t="s">
        <v>117</v>
      </c>
      <c r="L1" s="22"/>
      <c r="M1" s="16" t="s">
        <v>118</v>
      </c>
      <c r="N1" s="17"/>
      <c r="O1" s="11" t="s">
        <v>111</v>
      </c>
      <c r="P1" s="9"/>
      <c r="Q1" s="9"/>
      <c r="R1" s="9"/>
      <c r="S1" s="9"/>
      <c r="T1" s="9"/>
    </row>
    <row r="2" spans="1:20" ht="15" customHeight="1" thickTop="1" thickBot="1" x14ac:dyDescent="0.3">
      <c r="A2" s="7"/>
      <c r="B2" s="7"/>
      <c r="C2" s="7"/>
      <c r="D2" s="7"/>
      <c r="E2" s="7"/>
      <c r="F2" s="7"/>
      <c r="G2" s="15"/>
      <c r="H2" s="15"/>
      <c r="I2" s="18"/>
      <c r="J2" s="19"/>
      <c r="K2" s="18"/>
      <c r="L2" s="23"/>
      <c r="M2" s="18"/>
      <c r="N2" s="19"/>
      <c r="O2" s="9"/>
      <c r="P2" s="9"/>
      <c r="Q2" s="9"/>
      <c r="R2" s="9"/>
      <c r="S2" s="9"/>
      <c r="T2" s="9"/>
    </row>
    <row r="3" spans="1:20" ht="15" customHeight="1" thickTop="1" thickBot="1" x14ac:dyDescent="0.3">
      <c r="A3" s="7"/>
      <c r="B3" s="7"/>
      <c r="C3" s="7"/>
      <c r="D3" s="7"/>
      <c r="E3" s="7"/>
      <c r="F3" s="7"/>
      <c r="G3" s="15"/>
      <c r="H3" s="15"/>
      <c r="I3" s="18"/>
      <c r="J3" s="19"/>
      <c r="K3" s="18"/>
      <c r="L3" s="23"/>
      <c r="M3" s="18"/>
      <c r="N3" s="19"/>
      <c r="O3" s="9"/>
      <c r="P3" s="9"/>
      <c r="Q3" s="9"/>
      <c r="R3" s="9"/>
      <c r="S3" s="9"/>
      <c r="T3" s="9"/>
    </row>
    <row r="4" spans="1:20" ht="16.5" customHeight="1" thickTop="1" thickBot="1" x14ac:dyDescent="0.3">
      <c r="G4" s="15"/>
      <c r="H4" s="15"/>
      <c r="I4" s="18"/>
      <c r="J4" s="19"/>
      <c r="K4" s="18"/>
      <c r="L4" s="23"/>
      <c r="M4" s="18"/>
      <c r="N4" s="19"/>
    </row>
    <row r="5" spans="1:20" ht="16.5" customHeight="1" thickTop="1" thickBot="1" x14ac:dyDescent="0.3">
      <c r="G5" s="15"/>
      <c r="H5" s="15"/>
      <c r="I5" s="18"/>
      <c r="J5" s="19"/>
      <c r="K5" s="18"/>
      <c r="L5" s="23"/>
      <c r="M5" s="18"/>
      <c r="N5" s="19"/>
    </row>
    <row r="6" spans="1:20" ht="16.5" customHeight="1" thickTop="1" thickBot="1" x14ac:dyDescent="0.3">
      <c r="G6" s="15"/>
      <c r="H6" s="15"/>
      <c r="I6" s="18"/>
      <c r="J6" s="19"/>
      <c r="K6" s="18"/>
      <c r="L6" s="23"/>
      <c r="M6" s="18"/>
      <c r="N6" s="19"/>
    </row>
    <row r="7" spans="1:20" ht="15.75" customHeight="1" thickTop="1" thickBot="1" x14ac:dyDescent="0.3">
      <c r="G7" s="15"/>
      <c r="H7" s="15"/>
      <c r="I7" s="20"/>
      <c r="J7" s="21"/>
      <c r="K7" s="20"/>
      <c r="L7" s="24"/>
      <c r="M7" s="20"/>
      <c r="N7" s="21"/>
    </row>
    <row r="8" spans="1:20" ht="15" customHeight="1" thickTop="1" thickBot="1" x14ac:dyDescent="0.3">
      <c r="G8" s="25">
        <f>SUM('Sales Data'!I2:I41)</f>
        <v>1192200</v>
      </c>
      <c r="H8" s="25"/>
      <c r="I8" s="26">
        <f>COUNTA('Sales Data'!A2:A41)</f>
        <v>40</v>
      </c>
      <c r="J8" s="26"/>
      <c r="K8" s="26" t="s">
        <v>12</v>
      </c>
      <c r="L8" s="26"/>
      <c r="M8" s="26" t="s">
        <v>24</v>
      </c>
      <c r="N8" s="26"/>
    </row>
    <row r="9" spans="1:20" ht="15.75" customHeight="1" thickTop="1" thickBot="1" x14ac:dyDescent="0.3">
      <c r="G9" s="25"/>
      <c r="H9" s="25"/>
      <c r="I9" s="26"/>
      <c r="J9" s="26"/>
      <c r="K9" s="26"/>
      <c r="L9" s="26"/>
      <c r="M9" s="26"/>
      <c r="N9" s="26"/>
    </row>
    <row r="10" spans="1:20" ht="15.75" customHeight="1" thickTop="1" thickBot="1" x14ac:dyDescent="0.3">
      <c r="G10" s="25"/>
      <c r="H10" s="25"/>
      <c r="I10" s="26"/>
      <c r="J10" s="26"/>
      <c r="K10" s="26"/>
      <c r="L10" s="26"/>
      <c r="M10" s="26"/>
      <c r="N10" s="26"/>
    </row>
    <row r="11" spans="1:20" ht="15" customHeight="1" thickTop="1" thickBot="1" x14ac:dyDescent="0.3">
      <c r="G11" s="25"/>
      <c r="H11" s="25"/>
      <c r="I11" s="26"/>
      <c r="J11" s="26"/>
      <c r="K11" s="26"/>
      <c r="L11" s="26"/>
      <c r="M11" s="26"/>
      <c r="N11" s="26"/>
    </row>
    <row r="12" spans="1:20" ht="15" customHeight="1" thickTop="1" thickBot="1" x14ac:dyDescent="0.3">
      <c r="G12" s="25"/>
      <c r="H12" s="25"/>
      <c r="I12" s="26"/>
      <c r="J12" s="26"/>
      <c r="K12" s="26"/>
      <c r="L12" s="26"/>
      <c r="M12" s="26"/>
      <c r="N12" s="26"/>
    </row>
    <row r="13" spans="1:20" ht="15.75" thickTop="1" x14ac:dyDescent="0.25"/>
    <row r="29" spans="1:21" x14ac:dyDescent="0.25">
      <c r="A29" s="12" t="s">
        <v>112</v>
      </c>
      <c r="B29" s="13"/>
      <c r="C29" s="13"/>
      <c r="D29" s="13"/>
      <c r="E29" s="13"/>
      <c r="F29" s="13"/>
      <c r="G29" s="13"/>
      <c r="H29" s="14" t="s">
        <v>114</v>
      </c>
      <c r="I29" s="13"/>
      <c r="J29" s="13"/>
      <c r="K29" s="13"/>
      <c r="L29" s="13"/>
      <c r="M29" s="13"/>
      <c r="N29" s="13"/>
      <c r="O29" s="14" t="s">
        <v>113</v>
      </c>
      <c r="P29" s="13"/>
      <c r="Q29" s="13"/>
      <c r="R29" s="13"/>
      <c r="S29" s="13"/>
      <c r="T29" s="13"/>
      <c r="U29" s="13"/>
    </row>
    <row r="30" spans="1:21" x14ac:dyDescent="0.25">
      <c r="A30" s="13"/>
      <c r="B30" s="13"/>
      <c r="C30" s="13"/>
      <c r="D30" s="13"/>
      <c r="E30" s="13"/>
      <c r="F30" s="13"/>
      <c r="G30" s="13"/>
      <c r="H30" s="13"/>
      <c r="I30" s="13"/>
      <c r="J30" s="13"/>
      <c r="K30" s="13"/>
      <c r="L30" s="13"/>
      <c r="M30" s="13"/>
      <c r="N30" s="13"/>
      <c r="O30" s="13"/>
      <c r="P30" s="13"/>
      <c r="Q30" s="13"/>
      <c r="R30" s="13"/>
      <c r="S30" s="13"/>
      <c r="T30" s="13"/>
      <c r="U30" s="13"/>
    </row>
    <row r="31" spans="1:21" x14ac:dyDescent="0.25">
      <c r="I31" s="5"/>
    </row>
  </sheetData>
  <mergeCells count="12">
    <mergeCell ref="O1:T3"/>
    <mergeCell ref="A29:G30"/>
    <mergeCell ref="H29:N30"/>
    <mergeCell ref="O29:U30"/>
    <mergeCell ref="G1:H7"/>
    <mergeCell ref="I1:J7"/>
    <mergeCell ref="K1:L7"/>
    <mergeCell ref="M1:N7"/>
    <mergeCell ref="G8:H12"/>
    <mergeCell ref="I8:J12"/>
    <mergeCell ref="K8:L12"/>
    <mergeCell ref="M8:N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rishika dahiya</dc:creator>
  <cp:lastModifiedBy>rishika dahiya</cp:lastModifiedBy>
  <dcterms:created xsi:type="dcterms:W3CDTF">2026-04-08T04:12:26Z</dcterms:created>
  <dcterms:modified xsi:type="dcterms:W3CDTF">2026-07-01T10:29:46Z</dcterms:modified>
</cp:coreProperties>
</file>